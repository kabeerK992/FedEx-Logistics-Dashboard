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Data" sheetId="1" state="hidden" r:id="rId3"/>
    <sheet name="📊 Dashboard" sheetId="2" state="visible" r:id="rId4"/>
  </sheets>
  <definedNames>
    <definedName function="false" hidden="false" localSheetId="1" name="_xlnm.Print_Area" vbProcedure="false">'📊 Dashboard'!$A$1:$X$41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<sst xmlns="http://schemas.openxmlformats.org/spreadsheetml/2006/main" count="82" uniqueCount="71">
  <si>
    <t xml:space="preserve">Year</t>
  </si>
  <si>
    <t xml:space="preserve">Orders</t>
  </si>
  <si>
    <t xml:space="preserve">Revenue</t>
  </si>
  <si>
    <t xml:space="preserve">Mode</t>
  </si>
  <si>
    <t xml:space="preserve">Count</t>
  </si>
  <si>
    <t xml:space="preserve">Product</t>
  </si>
  <si>
    <t xml:space="preserve">Country</t>
  </si>
  <si>
    <t xml:space="preserve">Channel</t>
  </si>
  <si>
    <t xml:space="preserve">Freight</t>
  </si>
  <si>
    <t xml:space="preserve">Air</t>
  </si>
  <si>
    <t xml:space="preserve">ARV</t>
  </si>
  <si>
    <t xml:space="preserve">Nigeria</t>
  </si>
  <si>
    <t xml:space="preserve">Direct Drop</t>
  </si>
  <si>
    <t xml:space="preserve">Air Charter</t>
  </si>
  <si>
    <t xml:space="preserve">HRDT</t>
  </si>
  <si>
    <t xml:space="preserve">Zambia</t>
  </si>
  <si>
    <t xml:space="preserve">From RDC</t>
  </si>
  <si>
    <t xml:space="preserve">Ocean</t>
  </si>
  <si>
    <t xml:space="preserve">ACT</t>
  </si>
  <si>
    <t xml:space="preserve">Mozambique</t>
  </si>
  <si>
    <t xml:space="preserve">Truck</t>
  </si>
  <si>
    <t xml:space="preserve">ANTM</t>
  </si>
  <si>
    <t xml:space="preserve">Tanzania</t>
  </si>
  <si>
    <t xml:space="preserve">MRDT</t>
  </si>
  <si>
    <t xml:space="preserve">Cote d'Ivoire</t>
  </si>
  <si>
    <t xml:space="preserve">South Africa</t>
  </si>
  <si>
    <t xml:space="preserve">Zimbabwe</t>
  </si>
  <si>
    <t xml:space="preserve">Uganda</t>
  </si>
  <si>
    <t xml:space="preserve">⚕  SCMS PHARMACEUTICAL SUPPLY CHAIN — DELIVERY PERFORMANCE DASHBOARD</t>
  </si>
  <si>
    <t xml:space="preserve">💰 TOTAL REVENUE</t>
  </si>
  <si>
    <t xml:space="preserve">📦 TOTAL SHIPMENTS</t>
  </si>
  <si>
    <t xml:space="preserve">✅ ON-TIME DELIVERY</t>
  </si>
  <si>
    <t xml:space="preserve">🚚 FREIGHT COST</t>
  </si>
  <si>
    <t xml:space="preserve">🌍 COUNTRIES SERVED</t>
  </si>
  <si>
    <t xml:space="preserve">$1627.6M</t>
  </si>
  <si>
    <t xml:space="preserve">10,324</t>
  </si>
  <si>
    <t xml:space="preserve">88.5%</t>
  </si>
  <si>
    <t xml:space="preserve">$68.8M</t>
  </si>
  <si>
    <t xml:space="preserve">43</t>
  </si>
  <si>
    <t xml:space="preserve">USD Line Item Value</t>
  </si>
  <si>
    <t xml:space="preserve">Order Records</t>
  </si>
  <si>
    <t xml:space="preserve">Delivered ≤ Scheduled</t>
  </si>
  <si>
    <t xml:space="preserve">Total Freight (USD)</t>
  </si>
  <si>
    <t xml:space="preserve">Unique Destinations</t>
  </si>
  <si>
    <t xml:space="preserve">📈  ANNUAL REVENUE TREND</t>
  </si>
  <si>
    <t xml:space="preserve">✈  SHIPMENT MODE SPLIT</t>
  </si>
  <si>
    <t xml:space="preserve">💊  PRODUCT GROUP REVENUE</t>
  </si>
  <si>
    <t xml:space="preserve">🌐  TOP 8 COUNTRIES</t>
  </si>
  <si>
    <t xml:space="preserve">📊  ORDERS BY YEAR</t>
  </si>
  <si>
    <t xml:space="preserve">🔄  FULFILLMENT CHANNEL</t>
  </si>
  <si>
    <t xml:space="preserve">🏆  REVENUE vs FREIGHT</t>
  </si>
  <si>
    <t xml:space="preserve">📋  KEY METRICS SUMMARY</t>
  </si>
  <si>
    <t xml:space="preserve">Metric</t>
  </si>
  <si>
    <t xml:space="preserve">Value</t>
  </si>
  <si>
    <t xml:space="preserve">Total Revenue</t>
  </si>
  <si>
    <t xml:space="preserve">Total Shipments</t>
  </si>
  <si>
    <t xml:space="preserve">On-Time Delivery Rate</t>
  </si>
  <si>
    <t xml:space="preserve">Avg Lead Days</t>
  </si>
  <si>
    <t xml:space="preserve">-6 days</t>
  </si>
  <si>
    <t xml:space="preserve">Total Freight</t>
  </si>
  <si>
    <t xml:space="preserve">Unique Countries</t>
  </si>
  <si>
    <t xml:space="preserve">Active Vendors</t>
  </si>
  <si>
    <t xml:space="preserve">73</t>
  </si>
  <si>
    <t xml:space="preserve">ARV Shipments</t>
  </si>
  <si>
    <t xml:space="preserve">8,550</t>
  </si>
  <si>
    <t xml:space="preserve">Air Shipments</t>
  </si>
  <si>
    <t xml:space="preserve">6,113</t>
  </si>
  <si>
    <t xml:space="preserve">Direct Drop Orders</t>
  </si>
  <si>
    <t xml:space="preserve">4,920</t>
  </si>
  <si>
    <t xml:space="preserve">Unique Vendors</t>
  </si>
  <si>
    <t xml:space="preserve">SCMS Delivery History Dataset  |  10,324 Shipment Records  |  2006–2015  |  Dashboard built for Resume/Portfolio Showcase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</si>
</sst>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D1B2A"/>
      <name val="Calibri"/>
      <family val="0"/>
      <charset val="1"/>
    </font>
    <font>
      <i val="true"/>
      <sz val="8"/>
      <color rgb="FF566573"/>
      <name val="Calibri"/>
      <family val="0"/>
      <charset val="1"/>
    </font>
    <font>
      <sz val="9"/>
      <color rgb="FF0D1B2A"/>
      <name val="Calibri"/>
      <family val="0"/>
      <charset val="1"/>
    </font>
    <font>
      <i val="true"/>
      <sz val="8"/>
      <color rgb="FFAAAAAA"/>
      <name val="Calibri"/>
      <family val="0"/>
      <charset val="1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4F6F7"/>
        <bgColor rgb="FFFFFFFF"/>
      </patternFill>
    </fill>
    <fill>
      <patternFill patternType="solid">
        <fgColor rgb="FF17A589"/>
        <bgColor rgb="FF008080"/>
      </patternFill>
    </fill>
    <fill>
      <patternFill patternType="solid">
        <fgColor rgb="FF0D1B2A"/>
        <bgColor rgb="FF000000"/>
      </patternFill>
    </fill>
    <fill>
      <patternFill patternType="solid">
        <fgColor rgb="FF1A5276"/>
        <bgColor rgb="FF333399"/>
      </patternFill>
    </fill>
    <fill>
      <patternFill patternType="solid">
        <fgColor rgb="FFE67E22"/>
        <bgColor rgb="FFFF9900"/>
      </patternFill>
    </fill>
    <fill>
      <patternFill patternType="solid">
        <fgColor rgb="FF7D3C98"/>
        <bgColor rgb="FF993366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DEBD0"/>
        <bgColor rgb="FFEAECEE"/>
      </patternFill>
    </fill>
    <fill>
      <patternFill patternType="solid">
        <fgColor rgb="FFE8DAEF"/>
        <bgColor rgb="FFD9D9D9"/>
      </patternFill>
    </fill>
    <fill>
      <patternFill patternType="solid">
        <fgColor rgb="FFEAECEE"/>
        <bgColor rgb="FFF4F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D1B2A"/>
      </left>
      <right/>
      <top style="thin">
        <color rgb="FF0D1B2A"/>
      </top>
      <bottom style="thin">
        <color rgb="FF0D1B2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D3C98"/>
      <rgbColor rgb="FFFDEBD0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5F5E3"/>
      <rgbColor rgb="FFF4F6F7"/>
      <rgbColor rgb="FF99CCFF"/>
      <rgbColor rgb="FFFF99CC"/>
      <rgbColor rgb="FFCC99FF"/>
      <rgbColor rgb="FFE8DAEF"/>
      <rgbColor rgb="FF4F81BD"/>
      <rgbColor rgb="FF33CCCC"/>
      <rgbColor rgb="FF99CC00"/>
      <rgbColor rgb="FFFFCC00"/>
      <rgbColor rgb="FFFF9900"/>
      <rgbColor rgb="FFE67E22"/>
      <rgbColor rgb="FF566573"/>
      <rgbColor rgb="FFAAAAAA"/>
      <rgbColor rgb="FF1A5276"/>
      <rgbColor rgb="FF17A589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7a589"/>
            </a:solidFill>
            <a:ln w="0">
              <a:solidFill>
                <a:srgbClr val="17a58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strCache>
            </c:strRef>
          </c:cat>
          <c:val>
            <c:numRef>
              <c:f>Data!$C$2:$C$11</c:f>
              <c:numCache>
                <c:formatCode>General</c:formatCode>
                <c:ptCount val="10"/>
                <c:pt idx="0">
                  <c:v>4134062</c:v>
                </c:pt>
                <c:pt idx="1">
                  <c:v>9228044</c:v>
                </c:pt>
                <c:pt idx="2">
                  <c:v>28058918</c:v>
                </c:pt>
                <c:pt idx="3">
                  <c:v>49506052</c:v>
                </c:pt>
                <c:pt idx="4">
                  <c:v>103876341</c:v>
                </c:pt>
                <c:pt idx="5">
                  <c:v>81215343</c:v>
                </c:pt>
                <c:pt idx="6">
                  <c:v>70092335</c:v>
                </c:pt>
                <c:pt idx="7">
                  <c:v>88098719</c:v>
                </c:pt>
                <c:pt idx="8">
                  <c:v>75497231</c:v>
                </c:pt>
                <c:pt idx="9">
                  <c:v>20701657</c:v>
                </c:pt>
              </c:numCache>
            </c:numRef>
          </c:val>
        </c:ser>
        <c:gapWidth val="150"/>
        <c:overlap val="0"/>
        <c:axId val="61989810"/>
        <c:axId val="77726486"/>
      </c:barChart>
      <c:catAx>
        <c:axId val="61989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26486"/>
        <c:crosses val="autoZero"/>
        <c:auto val="1"/>
        <c:lblAlgn val="ctr"/>
        <c:lblOffset val="100"/>
        <c:noMultiLvlLbl val="0"/>
      </c:catAx>
      <c:valAx>
        <c:axId val="7772648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89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Data!F1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a58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67e2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a527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d3c98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Data!$E$2:$E$5</c:f>
              <c:strCache>
                <c:ptCount val="4"/>
                <c:pt idx="0">
                  <c:v>Air</c:v>
                </c:pt>
                <c:pt idx="1">
                  <c:v>Air Charter</c:v>
                </c:pt>
                <c:pt idx="2">
                  <c:v>Ocean</c:v>
                </c:pt>
                <c:pt idx="3">
                  <c:v>Truck</c:v>
                </c:pt>
              </c:strCache>
            </c:strRef>
          </c:cat>
          <c:val>
            <c:numRef>
              <c:f>Data!$F$2:$F$5</c:f>
              <c:numCache>
                <c:formatCode>General</c:formatCode>
                <c:ptCount val="4"/>
                <c:pt idx="0">
                  <c:v>6113</c:v>
                </c:pt>
                <c:pt idx="1">
                  <c:v>650</c:v>
                </c:pt>
                <c:pt idx="2">
                  <c:v>371</c:v>
                </c:pt>
                <c:pt idx="3">
                  <c:v>2830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Data!I1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e67e2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Data!$H$2:$H$6</c:f>
              <c:strCache>
                <c:ptCount val="5"/>
                <c:pt idx="0">
                  <c:v>ARV</c:v>
                </c:pt>
                <c:pt idx="1">
                  <c:v>HRDT</c:v>
                </c:pt>
                <c:pt idx="2">
                  <c:v>ACT</c:v>
                </c:pt>
                <c:pt idx="3">
                  <c:v>ANTM</c:v>
                </c:pt>
                <c:pt idx="4">
                  <c:v>MRDT</c:v>
                </c:pt>
              </c:strCache>
            </c:strRef>
          </c:cat>
          <c:val>
            <c:numRef>
              <c:f>Data!$I$2:$I$6</c:f>
              <c:numCache>
                <c:formatCode>General</c:formatCode>
                <c:ptCount val="5"/>
                <c:pt idx="0">
                  <c:v>1413220073</c:v>
                </c:pt>
                <c:pt idx="1">
                  <c:v>213344762</c:v>
                </c:pt>
                <c:pt idx="2">
                  <c:v>664381</c:v>
                </c:pt>
                <c:pt idx="3">
                  <c:v>274177</c:v>
                </c:pt>
                <c:pt idx="4">
                  <c:v>81065</c:v>
                </c:pt>
              </c:numCache>
            </c:numRef>
          </c:val>
        </c:ser>
        <c:gapWidth val="150"/>
        <c:overlap val="0"/>
        <c:axId val="31424251"/>
        <c:axId val="66618400"/>
      </c:barChart>
      <c:catAx>
        <c:axId val="31424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18400"/>
        <c:crosses val="autoZero"/>
        <c:auto val="1"/>
        <c:lblAlgn val="ctr"/>
        <c:lblOffset val="100"/>
        <c:noMultiLvlLbl val="0"/>
      </c:catAx>
      <c:valAx>
        <c:axId val="6661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242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Data!L1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d3c98"/>
            </a:solidFill>
            <a:ln w="0">
              <a:solidFill>
                <a:srgbClr val="7d3c9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Data!$K$2:$K$9</c:f>
              <c:strCache>
                <c:ptCount val="8"/>
                <c:pt idx="0">
                  <c:v>Nigeria</c:v>
                </c:pt>
                <c:pt idx="1">
                  <c:v>Zambia</c:v>
                </c:pt>
                <c:pt idx="2">
                  <c:v>Mozambique</c:v>
                </c:pt>
                <c:pt idx="3">
                  <c:v>Tanzania</c:v>
                </c:pt>
                <c:pt idx="4">
                  <c:v>Cote d'Ivoire</c:v>
                </c:pt>
                <c:pt idx="5">
                  <c:v>South Africa</c:v>
                </c:pt>
                <c:pt idx="6">
                  <c:v>Zimbabwe</c:v>
                </c:pt>
                <c:pt idx="7">
                  <c:v>Uganda</c:v>
                </c:pt>
              </c:strCache>
            </c:strRef>
          </c:cat>
          <c:val>
            <c:numRef>
              <c:f>Data!$L$2:$L$9</c:f>
              <c:numCache>
                <c:formatCode>General</c:formatCode>
                <c:ptCount val="8"/>
                <c:pt idx="0">
                  <c:v>350272105</c:v>
                </c:pt>
                <c:pt idx="1">
                  <c:v>246988840</c:v>
                </c:pt>
                <c:pt idx="2">
                  <c:v>182024691</c:v>
                </c:pt>
                <c:pt idx="3">
                  <c:v>129459496</c:v>
                </c:pt>
                <c:pt idx="4">
                  <c:v>120884501</c:v>
                </c:pt>
                <c:pt idx="5">
                  <c:v>108670145</c:v>
                </c:pt>
                <c:pt idx="6">
                  <c:v>104439961</c:v>
                </c:pt>
                <c:pt idx="7">
                  <c:v>96197336</c:v>
                </c:pt>
              </c:numCache>
            </c:numRef>
          </c:val>
        </c:ser>
        <c:gapWidth val="150"/>
        <c:overlap val="0"/>
        <c:axId val="17968357"/>
        <c:axId val="31108825"/>
      </c:barChart>
      <c:catAx>
        <c:axId val="17968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08825"/>
        <c:crosses val="autoZero"/>
        <c:auto val="1"/>
        <c:lblAlgn val="ctr"/>
        <c:lblOffset val="100"/>
        <c:noMultiLvlLbl val="0"/>
      </c:catAx>
      <c:valAx>
        <c:axId val="3110882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68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0d1b2a"/>
            </a:solidFill>
            <a:ln w="24840">
              <a:solidFill>
                <a:srgbClr val="0d1b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strCache>
            </c:strRef>
          </c:cat>
          <c:val>
            <c:numRef>
              <c:f>Data!$B$2:$B$11</c:f>
              <c:numCache>
                <c:formatCode>General</c:formatCode>
                <c:ptCount val="10"/>
                <c:pt idx="0">
                  <c:v>27</c:v>
                </c:pt>
                <c:pt idx="1">
                  <c:v>125</c:v>
                </c:pt>
                <c:pt idx="2">
                  <c:v>360</c:v>
                </c:pt>
                <c:pt idx="3">
                  <c:v>588</c:v>
                </c:pt>
                <c:pt idx="4">
                  <c:v>575</c:v>
                </c:pt>
                <c:pt idx="5">
                  <c:v>451</c:v>
                </c:pt>
                <c:pt idx="6">
                  <c:v>488</c:v>
                </c:pt>
                <c:pt idx="7">
                  <c:v>676</c:v>
                </c:pt>
                <c:pt idx="8">
                  <c:v>947</c:v>
                </c:pt>
                <c:pt idx="9">
                  <c:v>355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992533"/>
        <c:axId val="72040181"/>
      </c:lineChart>
      <c:catAx>
        <c:axId val="419925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40181"/>
        <c:crosses val="autoZero"/>
        <c:auto val="1"/>
        <c:lblAlgn val="ctr"/>
        <c:lblOffset val="100"/>
        <c:noMultiLvlLbl val="0"/>
      </c:catAx>
      <c:valAx>
        <c:axId val="720401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925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Data!O1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a58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67e2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Data!$N$2:$N$3</c:f>
              <c:strCache>
                <c:ptCount val="2"/>
                <c:pt idx="0">
                  <c:v>Direct Drop</c:v>
                </c:pt>
                <c:pt idx="1">
                  <c:v>From RDC</c:v>
                </c:pt>
              </c:strCache>
            </c:strRef>
          </c:cat>
          <c:val>
            <c:numRef>
              <c:f>Data!$O$2:$O$3</c:f>
              <c:numCache>
                <c:formatCode>General</c:formatCode>
                <c:ptCount val="2"/>
                <c:pt idx="0">
                  <c:v>4920</c:v>
                </c:pt>
                <c:pt idx="1">
                  <c:v>5404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Data!R1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Data!$Q$2:$Q$7</c:f>
              <c:strCach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strCache>
            </c:strRef>
          </c:cat>
          <c:val>
            <c:numRef>
              <c:f>Data!$R$2:$R$7</c:f>
              <c:numCache>
                <c:formatCode>General</c:formatCode>
                <c:ptCount val="6"/>
                <c:pt idx="0">
                  <c:v>103876341</c:v>
                </c:pt>
                <c:pt idx="1">
                  <c:v>81215343</c:v>
                </c:pt>
                <c:pt idx="2">
                  <c:v>70092335</c:v>
                </c:pt>
                <c:pt idx="3">
                  <c:v>88098719</c:v>
                </c:pt>
                <c:pt idx="4">
                  <c:v>75497231</c:v>
                </c:pt>
                <c:pt idx="5">
                  <c:v>20701657</c:v>
                </c:pt>
              </c:numCache>
            </c:numRef>
          </c:val>
        </c:ser>
        <c:ser>
          <c:idx val="1"/>
          <c:order val="1"/>
          <c:tx>
            <c:strRef>
              <c:f>Data!S1</c:f>
              <c:strCache>
                <c:ptCount val="1"/>
                <c:pt idx="0">
                  <c:v>Freight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Data!$Q$2:$Q$7</c:f>
              <c:strCach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strCache>
            </c:strRef>
          </c:cat>
          <c:val>
            <c:numRef>
              <c:f>Data!$S$2:$S$7</c:f>
              <c:numCache>
                <c:formatCode>General</c:formatCode>
                <c:ptCount val="6"/>
                <c:pt idx="0">
                  <c:v>3877728</c:v>
                </c:pt>
                <c:pt idx="1">
                  <c:v>4474074</c:v>
                </c:pt>
                <c:pt idx="2">
                  <c:v>5659707</c:v>
                </c:pt>
                <c:pt idx="3">
                  <c:v>7183181</c:v>
                </c:pt>
                <c:pt idx="4">
                  <c:v>5429478</c:v>
                </c:pt>
                <c:pt idx="5">
                  <c:v>604890</c:v>
                </c:pt>
              </c:numCache>
            </c:numRef>
          </c:val>
        </c:ser>
        <c:gapWidth val="150"/>
        <c:overlap val="0"/>
        <c:axId val="53207379"/>
        <c:axId val="70107302"/>
      </c:barChart>
      <c:catAx>
        <c:axId val="53207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07302"/>
        <c:crosses val="autoZero"/>
        <c:auto val="1"/>
        <c:lblAlgn val="ctr"/>
        <c:lblOffset val="100"/>
        <c:noMultiLvlLbl val="0"/>
      </c:catAx>
      <c:valAx>
        <c:axId val="701073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07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186120</xdr:colOff>
      <xdr:row>27</xdr:row>
      <xdr:rowOff>68760</xdr:rowOff>
    </xdr:to>
    <xdr:graphicFrame>
      <xdr:nvGraphicFramePr>
        <xdr:cNvPr id="0" name="Chart 1"/>
        <xdr:cNvGraphicFramePr/>
      </xdr:nvGraphicFramePr>
      <xdr:xfrm>
        <a:off x="84600" y="149544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186120</xdr:colOff>
      <xdr:row>27</xdr:row>
      <xdr:rowOff>68760</xdr:rowOff>
    </xdr:to>
    <xdr:graphicFrame>
      <xdr:nvGraphicFramePr>
        <xdr:cNvPr id="1" name="Chart 2"/>
        <xdr:cNvGraphicFramePr/>
      </xdr:nvGraphicFramePr>
      <xdr:xfrm>
        <a:off x="3693240" y="149544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8</xdr:row>
      <xdr:rowOff>0</xdr:rowOff>
    </xdr:from>
    <xdr:to>
      <xdr:col>20</xdr:col>
      <xdr:colOff>186120</xdr:colOff>
      <xdr:row>27</xdr:row>
      <xdr:rowOff>68760</xdr:rowOff>
    </xdr:to>
    <xdr:graphicFrame>
      <xdr:nvGraphicFramePr>
        <xdr:cNvPr id="2" name="Chart 3"/>
        <xdr:cNvGraphicFramePr/>
      </xdr:nvGraphicFramePr>
      <xdr:xfrm>
        <a:off x="7301880" y="149544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8</xdr:row>
      <xdr:rowOff>0</xdr:rowOff>
    </xdr:from>
    <xdr:to>
      <xdr:col>25</xdr:col>
      <xdr:colOff>84240</xdr:colOff>
      <xdr:row>27</xdr:row>
      <xdr:rowOff>68760</xdr:rowOff>
    </xdr:to>
    <xdr:graphicFrame>
      <xdr:nvGraphicFramePr>
        <xdr:cNvPr id="3" name="Chart 4"/>
        <xdr:cNvGraphicFramePr/>
      </xdr:nvGraphicFramePr>
      <xdr:xfrm>
        <a:off x="10910520" y="1495440"/>
        <a:ext cx="35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8</xdr:col>
      <xdr:colOff>186120</xdr:colOff>
      <xdr:row>44</xdr:row>
      <xdr:rowOff>2880</xdr:rowOff>
    </xdr:to>
    <xdr:graphicFrame>
      <xdr:nvGraphicFramePr>
        <xdr:cNvPr id="4" name="Chart 5"/>
        <xdr:cNvGraphicFramePr/>
      </xdr:nvGraphicFramePr>
      <xdr:xfrm>
        <a:off x="84600" y="432432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14</xdr:col>
      <xdr:colOff>186120</xdr:colOff>
      <xdr:row>44</xdr:row>
      <xdr:rowOff>2880</xdr:rowOff>
    </xdr:to>
    <xdr:graphicFrame>
      <xdr:nvGraphicFramePr>
        <xdr:cNvPr id="5" name="Chart 6"/>
        <xdr:cNvGraphicFramePr/>
      </xdr:nvGraphicFramePr>
      <xdr:xfrm>
        <a:off x="3693240" y="432432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26</xdr:row>
      <xdr:rowOff>0</xdr:rowOff>
    </xdr:from>
    <xdr:to>
      <xdr:col>20</xdr:col>
      <xdr:colOff>186120</xdr:colOff>
      <xdr:row>44</xdr:row>
      <xdr:rowOff>2880</xdr:rowOff>
    </xdr:to>
    <xdr:graphicFrame>
      <xdr:nvGraphicFramePr>
        <xdr:cNvPr id="6" name="Chart 7"/>
        <xdr:cNvGraphicFramePr/>
      </xdr:nvGraphicFramePr>
      <xdr:xfrm>
        <a:off x="7301880" y="432432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  <c r="H1" s="0" t="s">
        <v>5</v>
      </c>
      <c r="I1" s="0" t="s">
        <v>2</v>
      </c>
      <c r="K1" s="0" t="s">
        <v>6</v>
      </c>
      <c r="L1" s="0" t="s">
        <v>2</v>
      </c>
      <c r="N1" s="0" t="s">
        <v>7</v>
      </c>
      <c r="O1" s="0" t="s">
        <v>4</v>
      </c>
      <c r="Q1" s="0" t="s">
        <v>0</v>
      </c>
      <c r="R1" s="0" t="s">
        <v>2</v>
      </c>
      <c r="S1" s="0" t="s">
        <v>8</v>
      </c>
    </row>
    <row r="2" customFormat="false" ht="15" hidden="false" customHeight="false" outlineLevel="0" collapsed="false">
      <c r="A2" s="0" t="n">
        <v>2006</v>
      </c>
      <c r="B2" s="0" t="n">
        <v>27</v>
      </c>
      <c r="C2" s="0" t="n">
        <v>4134062</v>
      </c>
      <c r="E2" s="0" t="s">
        <v>9</v>
      </c>
      <c r="F2" s="0" t="n">
        <v>6113</v>
      </c>
      <c r="H2" s="0" t="s">
        <v>10</v>
      </c>
      <c r="I2" s="0" t="n">
        <v>1413220073</v>
      </c>
      <c r="K2" s="0" t="s">
        <v>11</v>
      </c>
      <c r="L2" s="0" t="n">
        <v>350272105</v>
      </c>
      <c r="N2" s="0" t="s">
        <v>12</v>
      </c>
      <c r="O2" s="0" t="n">
        <v>4920</v>
      </c>
      <c r="Q2" s="0" t="n">
        <v>2010</v>
      </c>
      <c r="R2" s="0" t="n">
        <v>103876341</v>
      </c>
      <c r="S2" s="0" t="n">
        <v>3877728</v>
      </c>
    </row>
    <row r="3" customFormat="false" ht="15" hidden="false" customHeight="false" outlineLevel="0" collapsed="false">
      <c r="A3" s="0" t="n">
        <v>2007</v>
      </c>
      <c r="B3" s="0" t="n">
        <v>125</v>
      </c>
      <c r="C3" s="0" t="n">
        <v>9228044</v>
      </c>
      <c r="E3" s="0" t="s">
        <v>13</v>
      </c>
      <c r="F3" s="0" t="n">
        <v>650</v>
      </c>
      <c r="H3" s="0" t="s">
        <v>14</v>
      </c>
      <c r="I3" s="0" t="n">
        <v>213344762</v>
      </c>
      <c r="K3" s="0" t="s">
        <v>15</v>
      </c>
      <c r="L3" s="0" t="n">
        <v>246988840</v>
      </c>
      <c r="N3" s="0" t="s">
        <v>16</v>
      </c>
      <c r="O3" s="0" t="n">
        <v>5404</v>
      </c>
      <c r="Q3" s="0" t="n">
        <v>2011</v>
      </c>
      <c r="R3" s="0" t="n">
        <v>81215343</v>
      </c>
      <c r="S3" s="0" t="n">
        <v>4474074</v>
      </c>
    </row>
    <row r="4" customFormat="false" ht="15" hidden="false" customHeight="false" outlineLevel="0" collapsed="false">
      <c r="A4" s="0" t="n">
        <v>2008</v>
      </c>
      <c r="B4" s="0" t="n">
        <v>360</v>
      </c>
      <c r="C4" s="0" t="n">
        <v>28058918</v>
      </c>
      <c r="E4" s="0" t="s">
        <v>17</v>
      </c>
      <c r="F4" s="0" t="n">
        <v>371</v>
      </c>
      <c r="H4" s="0" t="s">
        <v>18</v>
      </c>
      <c r="I4" s="0" t="n">
        <v>664381</v>
      </c>
      <c r="K4" s="0" t="s">
        <v>19</v>
      </c>
      <c r="L4" s="0" t="n">
        <v>182024691</v>
      </c>
      <c r="Q4" s="0" t="n">
        <v>2012</v>
      </c>
      <c r="R4" s="0" t="n">
        <v>70092335</v>
      </c>
      <c r="S4" s="0" t="n">
        <v>5659707</v>
      </c>
    </row>
    <row r="5" customFormat="false" ht="15" hidden="false" customHeight="false" outlineLevel="0" collapsed="false">
      <c r="A5" s="0" t="n">
        <v>2009</v>
      </c>
      <c r="B5" s="0" t="n">
        <v>588</v>
      </c>
      <c r="C5" s="0" t="n">
        <v>49506052</v>
      </c>
      <c r="E5" s="0" t="s">
        <v>20</v>
      </c>
      <c r="F5" s="0" t="n">
        <v>2830</v>
      </c>
      <c r="H5" s="0" t="s">
        <v>21</v>
      </c>
      <c r="I5" s="0" t="n">
        <v>274177</v>
      </c>
      <c r="K5" s="0" t="s">
        <v>22</v>
      </c>
      <c r="L5" s="0" t="n">
        <v>129459496</v>
      </c>
      <c r="Q5" s="0" t="n">
        <v>2013</v>
      </c>
      <c r="R5" s="0" t="n">
        <v>88098719</v>
      </c>
      <c r="S5" s="0" t="n">
        <v>7183181</v>
      </c>
    </row>
    <row r="6" customFormat="false" ht="15" hidden="false" customHeight="false" outlineLevel="0" collapsed="false">
      <c r="A6" s="0" t="n">
        <v>2010</v>
      </c>
      <c r="B6" s="0" t="n">
        <v>575</v>
      </c>
      <c r="C6" s="0" t="n">
        <v>103876341</v>
      </c>
      <c r="H6" s="0" t="s">
        <v>23</v>
      </c>
      <c r="I6" s="0" t="n">
        <v>81065</v>
      </c>
      <c r="K6" s="0" t="s">
        <v>24</v>
      </c>
      <c r="L6" s="0" t="n">
        <v>120884501</v>
      </c>
      <c r="Q6" s="0" t="n">
        <v>2014</v>
      </c>
      <c r="R6" s="0" t="n">
        <v>75497231</v>
      </c>
      <c r="S6" s="0" t="n">
        <v>5429478</v>
      </c>
    </row>
    <row r="7" customFormat="false" ht="15" hidden="false" customHeight="false" outlineLevel="0" collapsed="false">
      <c r="A7" s="0" t="n">
        <v>2011</v>
      </c>
      <c r="B7" s="0" t="n">
        <v>451</v>
      </c>
      <c r="C7" s="0" t="n">
        <v>81215343</v>
      </c>
      <c r="K7" s="0" t="s">
        <v>25</v>
      </c>
      <c r="L7" s="0" t="n">
        <v>108670145</v>
      </c>
      <c r="Q7" s="0" t="n">
        <v>2015</v>
      </c>
      <c r="R7" s="0" t="n">
        <v>20701657</v>
      </c>
      <c r="S7" s="0" t="n">
        <v>604890</v>
      </c>
    </row>
    <row r="8" customFormat="false" ht="15" hidden="false" customHeight="false" outlineLevel="0" collapsed="false">
      <c r="A8" s="0" t="n">
        <v>2012</v>
      </c>
      <c r="B8" s="0" t="n">
        <v>488</v>
      </c>
      <c r="C8" s="0" t="n">
        <v>70092335</v>
      </c>
      <c r="K8" s="0" t="s">
        <v>26</v>
      </c>
      <c r="L8" s="0" t="n">
        <v>104439961</v>
      </c>
    </row>
    <row r="9" customFormat="false" ht="15" hidden="false" customHeight="false" outlineLevel="0" collapsed="false">
      <c r="A9" s="0" t="n">
        <v>2013</v>
      </c>
      <c r="B9" s="0" t="n">
        <v>676</v>
      </c>
      <c r="C9" s="0" t="n">
        <v>88098719</v>
      </c>
      <c r="K9" s="0" t="s">
        <v>27</v>
      </c>
      <c r="L9" s="0" t="n">
        <v>96197336</v>
      </c>
    </row>
    <row r="10" customFormat="false" ht="15" hidden="false" customHeight="false" outlineLevel="0" collapsed="false">
      <c r="A10" s="0" t="n">
        <v>2014</v>
      </c>
      <c r="B10" s="0" t="n">
        <v>947</v>
      </c>
      <c r="C10" s="0" t="n">
        <v>75497231</v>
      </c>
    </row>
    <row r="11" customFormat="false" ht="15" hidden="false" customHeight="false" outlineLevel="0" collapsed="false">
      <c r="A11" s="0" t="n">
        <v>2015</v>
      </c>
      <c r="B11" s="0" t="n">
        <v>355</v>
      </c>
      <c r="C11" s="0" t="n">
        <v>20701657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41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6" min="2" style="0" width="10"/>
    <col collapsed="false" customWidth="true" hidden="false" outlineLevel="0" max="7" min="7" style="0" width="1.2"/>
    <col collapsed="false" customWidth="true" hidden="false" outlineLevel="0" max="12" min="8" style="0" width="10"/>
    <col collapsed="false" customWidth="true" hidden="false" outlineLevel="0" max="13" min="13" style="0" width="1.2"/>
    <col collapsed="false" customWidth="true" hidden="false" outlineLevel="0" max="18" min="14" style="0" width="10"/>
    <col collapsed="false" customWidth="true" hidden="false" outlineLevel="0" max="19" min="19" style="0" width="1.2"/>
    <col collapsed="false" customWidth="true" hidden="false" outlineLevel="0" max="23" min="20" style="0" width="10"/>
    <col collapsed="false" customWidth="true" hidden="false" outlineLevel="0" max="24" min="24" style="0" width="1.2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7.5" hidden="false" customHeight="true" outlineLevel="0" collapsed="false">
      <c r="A2" s="2"/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5.75" hidden="false" customHeight="true" outlineLevel="0" collapsed="false">
      <c r="A4" s="1"/>
      <c r="B4" s="4" t="s">
        <v>29</v>
      </c>
      <c r="C4" s="4"/>
      <c r="D4" s="4"/>
      <c r="E4" s="4"/>
      <c r="F4" s="1"/>
      <c r="G4" s="5" t="s">
        <v>30</v>
      </c>
      <c r="H4" s="5"/>
      <c r="I4" s="5"/>
      <c r="J4" s="5"/>
      <c r="K4" s="1"/>
      <c r="L4" s="6" t="s">
        <v>31</v>
      </c>
      <c r="M4" s="6"/>
      <c r="N4" s="6"/>
      <c r="O4" s="6"/>
      <c r="P4" s="1"/>
      <c r="Q4" s="7" t="s">
        <v>32</v>
      </c>
      <c r="R4" s="7"/>
      <c r="S4" s="7"/>
      <c r="T4" s="7"/>
      <c r="U4" s="4" t="s">
        <v>33</v>
      </c>
      <c r="V4" s="4"/>
      <c r="W4" s="4"/>
      <c r="X4" s="4"/>
    </row>
    <row r="5" customFormat="false" ht="24" hidden="false" customHeight="true" outlineLevel="0" collapsed="false">
      <c r="A5" s="1"/>
      <c r="B5" s="8" t="s">
        <v>34</v>
      </c>
      <c r="C5" s="8"/>
      <c r="D5" s="8"/>
      <c r="E5" s="8"/>
      <c r="F5" s="1"/>
      <c r="G5" s="9" t="s">
        <v>35</v>
      </c>
      <c r="H5" s="9"/>
      <c r="I5" s="9"/>
      <c r="J5" s="9"/>
      <c r="K5" s="1"/>
      <c r="L5" s="10" t="s">
        <v>36</v>
      </c>
      <c r="M5" s="10"/>
      <c r="N5" s="10"/>
      <c r="O5" s="10"/>
      <c r="P5" s="1"/>
      <c r="Q5" s="11" t="s">
        <v>37</v>
      </c>
      <c r="R5" s="11"/>
      <c r="S5" s="11"/>
      <c r="T5" s="11"/>
      <c r="U5" s="8" t="s">
        <v>38</v>
      </c>
      <c r="V5" s="8"/>
      <c r="W5" s="8"/>
      <c r="X5" s="8"/>
    </row>
    <row r="6" customFormat="false" ht="12" hidden="false" customHeight="true" outlineLevel="0" collapsed="false">
      <c r="A6" s="1"/>
      <c r="B6" s="12" t="s">
        <v>39</v>
      </c>
      <c r="C6" s="12"/>
      <c r="D6" s="12"/>
      <c r="E6" s="12"/>
      <c r="F6" s="1"/>
      <c r="G6" s="13" t="s">
        <v>40</v>
      </c>
      <c r="H6" s="13"/>
      <c r="I6" s="13"/>
      <c r="J6" s="13"/>
      <c r="K6" s="1"/>
      <c r="L6" s="14" t="s">
        <v>41</v>
      </c>
      <c r="M6" s="14"/>
      <c r="N6" s="14"/>
      <c r="O6" s="14"/>
      <c r="P6" s="1"/>
      <c r="Q6" s="15" t="s">
        <v>42</v>
      </c>
      <c r="R6" s="15"/>
      <c r="S6" s="15"/>
      <c r="T6" s="15"/>
      <c r="U6" s="12" t="s">
        <v>43</v>
      </c>
      <c r="V6" s="12"/>
      <c r="W6" s="12"/>
      <c r="X6" s="12"/>
    </row>
    <row r="7" customFormat="false" ht="6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customFormat="false" ht="12.75" hidden="false" customHeight="true" outlineLevel="0" collapsed="false">
      <c r="A8" s="1"/>
      <c r="B8" s="16" t="s">
        <v>44</v>
      </c>
      <c r="C8" s="16"/>
      <c r="D8" s="16"/>
      <c r="E8" s="16"/>
      <c r="F8" s="16"/>
      <c r="G8" s="1"/>
      <c r="H8" s="17" t="s">
        <v>45</v>
      </c>
      <c r="I8" s="17"/>
      <c r="J8" s="17"/>
      <c r="K8" s="17"/>
      <c r="L8" s="17"/>
      <c r="M8" s="1"/>
      <c r="N8" s="18" t="s">
        <v>46</v>
      </c>
      <c r="O8" s="18"/>
      <c r="P8" s="18"/>
      <c r="Q8" s="18"/>
      <c r="R8" s="18"/>
      <c r="S8" s="1"/>
      <c r="T8" s="19" t="s">
        <v>47</v>
      </c>
      <c r="U8" s="19"/>
      <c r="V8" s="19"/>
      <c r="W8" s="19"/>
      <c r="X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6" hidden="false" customHeight="true" outlineLevel="0" collapsed="false">
      <c r="A26" s="1"/>
      <c r="B26" s="16" t="s">
        <v>48</v>
      </c>
      <c r="C26" s="16"/>
      <c r="D26" s="16"/>
      <c r="E26" s="16"/>
      <c r="F26" s="16"/>
      <c r="G26" s="1"/>
      <c r="H26" s="20" t="s">
        <v>49</v>
      </c>
      <c r="I26" s="20"/>
      <c r="J26" s="20"/>
      <c r="K26" s="20"/>
      <c r="L26" s="20"/>
      <c r="M26" s="1"/>
      <c r="N26" s="17" t="s">
        <v>50</v>
      </c>
      <c r="O26" s="17"/>
      <c r="P26" s="17"/>
      <c r="Q26" s="17"/>
      <c r="R26" s="17"/>
      <c r="S26" s="1"/>
      <c r="T26" s="18" t="s">
        <v>51</v>
      </c>
      <c r="U26" s="18"/>
      <c r="V26" s="18"/>
      <c r="W26" s="18"/>
      <c r="X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1" t="s">
        <v>52</v>
      </c>
      <c r="U27" s="21"/>
      <c r="V27" s="22" t="s">
        <v>53</v>
      </c>
      <c r="W27" s="22"/>
      <c r="X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3" t="s">
        <v>54</v>
      </c>
      <c r="U28" s="23"/>
      <c r="V28" s="24" t="s">
        <v>34</v>
      </c>
      <c r="W28" s="24"/>
      <c r="X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5" t="s">
        <v>55</v>
      </c>
      <c r="U29" s="25"/>
      <c r="V29" s="26" t="s">
        <v>35</v>
      </c>
      <c r="W29" s="26"/>
      <c r="X29" s="1"/>
    </row>
    <row r="30" customFormat="false" ht="12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3" t="s">
        <v>56</v>
      </c>
      <c r="U30" s="23"/>
      <c r="V30" s="24" t="s">
        <v>36</v>
      </c>
      <c r="W30" s="24"/>
      <c r="X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5" t="s">
        <v>57</v>
      </c>
      <c r="U31" s="25"/>
      <c r="V31" s="26" t="s">
        <v>58</v>
      </c>
      <c r="W31" s="26"/>
      <c r="X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3" t="s">
        <v>59</v>
      </c>
      <c r="U32" s="23"/>
      <c r="V32" s="24" t="s">
        <v>37</v>
      </c>
      <c r="W32" s="24"/>
      <c r="X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5" t="s">
        <v>60</v>
      </c>
      <c r="U33" s="25"/>
      <c r="V33" s="26" t="s">
        <v>38</v>
      </c>
      <c r="W33" s="26"/>
      <c r="X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3" t="s">
        <v>61</v>
      </c>
      <c r="U34" s="23"/>
      <c r="V34" s="24" t="s">
        <v>62</v>
      </c>
      <c r="W34" s="24"/>
      <c r="X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5" t="s">
        <v>63</v>
      </c>
      <c r="U35" s="25"/>
      <c r="V35" s="26" t="s">
        <v>64</v>
      </c>
      <c r="W35" s="26"/>
      <c r="X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3" t="s">
        <v>65</v>
      </c>
      <c r="U36" s="23"/>
      <c r="V36" s="24" t="s">
        <v>66</v>
      </c>
      <c r="W36" s="24"/>
      <c r="X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5" t="s">
        <v>67</v>
      </c>
      <c r="U37" s="25"/>
      <c r="V37" s="26" t="s">
        <v>68</v>
      </c>
      <c r="W37" s="26"/>
      <c r="X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3" t="s">
        <v>69</v>
      </c>
      <c r="U38" s="23"/>
      <c r="V38" s="24" t="s">
        <v>62</v>
      </c>
      <c r="W38" s="24"/>
      <c r="X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customFormat="false" ht="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customFormat="false" ht="9.75" hidden="false" customHeight="true" outlineLevel="0" collapsed="false">
      <c r="A41" s="2"/>
      <c r="B41" s="27" t="s">
        <v>70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</sheetData>
  <mergeCells count="49">
    <mergeCell ref="B2:X2"/>
    <mergeCell ref="B4:E4"/>
    <mergeCell ref="G4:J4"/>
    <mergeCell ref="L4:O4"/>
    <mergeCell ref="Q4:T4"/>
    <mergeCell ref="U4:X4"/>
    <mergeCell ref="B5:E5"/>
    <mergeCell ref="G5:J5"/>
    <mergeCell ref="L5:O5"/>
    <mergeCell ref="Q5:T5"/>
    <mergeCell ref="U5:X5"/>
    <mergeCell ref="B6:E6"/>
    <mergeCell ref="G6:J6"/>
    <mergeCell ref="L6:O6"/>
    <mergeCell ref="Q6:T6"/>
    <mergeCell ref="U6:X6"/>
    <mergeCell ref="B8:F8"/>
    <mergeCell ref="H8:L8"/>
    <mergeCell ref="N8:R8"/>
    <mergeCell ref="T8:W8"/>
    <mergeCell ref="B26:F26"/>
    <mergeCell ref="H26:L26"/>
    <mergeCell ref="N26:R26"/>
    <mergeCell ref="T26:W26"/>
    <mergeCell ref="T27:U27"/>
    <mergeCell ref="V27:W27"/>
    <mergeCell ref="T28:U28"/>
    <mergeCell ref="V28:W28"/>
    <mergeCell ref="T29:U29"/>
    <mergeCell ref="V29:W29"/>
    <mergeCell ref="T30:U30"/>
    <mergeCell ref="V30:W30"/>
    <mergeCell ref="T31:U31"/>
    <mergeCell ref="V31:W31"/>
    <mergeCell ref="T32:U32"/>
    <mergeCell ref="V32:W32"/>
    <mergeCell ref="T33:U33"/>
    <mergeCell ref="V33:W33"/>
    <mergeCell ref="T34:U34"/>
    <mergeCell ref="V34:W34"/>
    <mergeCell ref="T35:U35"/>
    <mergeCell ref="V35:W35"/>
    <mergeCell ref="T36:U36"/>
    <mergeCell ref="V36:W36"/>
    <mergeCell ref="T37:U37"/>
    <mergeCell ref="V37:W37"/>
    <mergeCell ref="T38:U38"/>
    <mergeCell ref="V38:W38"/>
    <mergeCell ref="B41:X41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2026-04-19T08:30:19Z</dcterms:created>
  <dc:creator>openpyxl</dc:creator>
  <dc:description/>
  <dc:language>en-US</dc:language>
  <cp:lastModifiedBy/>
  <dcterms:modified xsi:type="dcterms:W3CDTF">2026-04-19T08:30:28Z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